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data_validation" sheetId="2" r:id="rId6"/>
  </sheets>
  <definedNames/>
  <calcPr/>
</workbook>
</file>

<file path=xl/sharedStrings.xml><?xml version="1.0" encoding="utf-8"?>
<sst xmlns="http://schemas.openxmlformats.org/spreadsheetml/2006/main" count="34" uniqueCount="32">
  <si>
    <t>district_id</t>
  </si>
  <si>
    <t>district_name</t>
  </si>
  <si>
    <t>population</t>
  </si>
  <si>
    <t>children</t>
  </si>
  <si>
    <t>teens</t>
  </si>
  <si>
    <t>adults</t>
  </si>
  <si>
    <t>seniors</t>
  </si>
  <si>
    <t>employed_pop</t>
  </si>
  <si>
    <t>student_pop</t>
  </si>
  <si>
    <t>avg_income_usd_monthly</t>
  </si>
  <si>
    <t>area_acre</t>
  </si>
  <si>
    <t>residential_count</t>
  </si>
  <si>
    <t>commercial_count</t>
  </si>
  <si>
    <t>industrial_count</t>
  </si>
  <si>
    <t>office_count</t>
  </si>
  <si>
    <t>storage_count</t>
  </si>
  <si>
    <t>dc001</t>
  </si>
  <si>
    <t>Downtown</t>
  </si>
  <si>
    <t>dc002</t>
  </si>
  <si>
    <t>Willow Junction</t>
  </si>
  <si>
    <t>dc005</t>
  </si>
  <si>
    <t>Green Springs</t>
  </si>
  <si>
    <t>dc004</t>
  </si>
  <si>
    <t>South Beach</t>
  </si>
  <si>
    <t>dc003</t>
  </si>
  <si>
    <t>University</t>
  </si>
  <si>
    <t>dc007</t>
  </si>
  <si>
    <t>Hillside Brook</t>
  </si>
  <si>
    <t>dc006</t>
  </si>
  <si>
    <t>Eastern Heights</t>
  </si>
  <si>
    <t>age_pop_total</t>
  </si>
  <si>
    <t>is_correct?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</si>
</sst>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>
        <v>4701.0</v>
      </c>
      <c r="D2" s="2">
        <v>103.0</v>
      </c>
      <c r="E2" s="2">
        <v>30.0</v>
      </c>
      <c r="F2" s="2">
        <v>4341.0</v>
      </c>
      <c r="G2" s="2">
        <v>227.0</v>
      </c>
      <c r="H2" s="2">
        <v>3085.0</v>
      </c>
      <c r="I2" s="2">
        <v>1311.0</v>
      </c>
      <c r="J2" s="2">
        <v>1747.0</v>
      </c>
      <c r="K2" s="2">
        <v>267.0</v>
      </c>
      <c r="L2" s="2">
        <v>148.0</v>
      </c>
      <c r="M2" s="2">
        <v>14.0</v>
      </c>
      <c r="N2" s="2">
        <v>0.0</v>
      </c>
      <c r="O2" s="2">
        <v>27.0</v>
      </c>
      <c r="P2" s="2">
        <v>0.0</v>
      </c>
    </row>
    <row r="3">
      <c r="A3" s="2" t="s">
        <v>18</v>
      </c>
      <c r="B3" s="2" t="s">
        <v>19</v>
      </c>
      <c r="C3" s="2">
        <v>1826.0</v>
      </c>
      <c r="D3" s="2">
        <v>34.0</v>
      </c>
      <c r="E3" s="2">
        <v>9.0</v>
      </c>
      <c r="F3" s="2">
        <v>1715.0</v>
      </c>
      <c r="G3" s="2">
        <v>68.0</v>
      </c>
      <c r="H3" s="2">
        <v>1140.0</v>
      </c>
      <c r="I3" s="2">
        <v>600.0</v>
      </c>
      <c r="J3" s="2">
        <v>1674.0</v>
      </c>
      <c r="K3" s="2">
        <v>189.0</v>
      </c>
      <c r="L3" s="2">
        <v>504.0</v>
      </c>
      <c r="M3" s="2">
        <v>8.0</v>
      </c>
      <c r="N3" s="2">
        <v>0.0</v>
      </c>
      <c r="O3" s="2">
        <v>23.0</v>
      </c>
      <c r="P3" s="2">
        <v>0.0</v>
      </c>
    </row>
    <row r="4">
      <c r="A4" s="2" t="s">
        <v>20</v>
      </c>
      <c r="B4" s="2" t="s">
        <v>21</v>
      </c>
      <c r="C4" s="2">
        <v>1281.0</v>
      </c>
      <c r="D4" s="2">
        <v>104.0</v>
      </c>
      <c r="E4" s="2">
        <v>24.0</v>
      </c>
      <c r="F4" s="2">
        <v>1119.0</v>
      </c>
      <c r="G4" s="2">
        <v>34.0</v>
      </c>
      <c r="H4" s="2">
        <v>823.0</v>
      </c>
      <c r="I4" s="2">
        <v>404.0</v>
      </c>
      <c r="J4" s="2">
        <v>1575.0</v>
      </c>
      <c r="K4" s="2">
        <v>218.0</v>
      </c>
      <c r="L4" s="2">
        <v>479.0</v>
      </c>
      <c r="M4" s="2">
        <v>3.0</v>
      </c>
      <c r="N4" s="2">
        <v>0.0</v>
      </c>
      <c r="O4" s="2">
        <v>0.0</v>
      </c>
      <c r="P4" s="2">
        <v>0.0</v>
      </c>
    </row>
    <row r="5">
      <c r="A5" s="2" t="s">
        <v>22</v>
      </c>
      <c r="B5" s="2" t="s">
        <v>23</v>
      </c>
      <c r="C5" s="2">
        <v>968.0</v>
      </c>
      <c r="D5" s="2">
        <v>18.0</v>
      </c>
      <c r="E5" s="2">
        <v>5.0</v>
      </c>
      <c r="F5" s="2">
        <v>905.0</v>
      </c>
      <c r="G5" s="2">
        <v>40.0</v>
      </c>
      <c r="H5" s="2">
        <v>555.0</v>
      </c>
      <c r="I5" s="2">
        <v>361.0</v>
      </c>
      <c r="J5" s="2">
        <v>1869.0</v>
      </c>
      <c r="K5" s="2">
        <v>261.0</v>
      </c>
      <c r="L5" s="2">
        <v>356.0</v>
      </c>
      <c r="M5" s="2">
        <v>6.0</v>
      </c>
      <c r="N5" s="2">
        <v>0.0</v>
      </c>
      <c r="O5" s="2">
        <v>0.0</v>
      </c>
      <c r="P5" s="2">
        <v>0.0</v>
      </c>
    </row>
    <row r="6">
      <c r="A6" s="2" t="s">
        <v>24</v>
      </c>
      <c r="B6" s="2" t="s">
        <v>25</v>
      </c>
      <c r="C6" s="2">
        <v>870.0</v>
      </c>
      <c r="D6" s="2">
        <v>152.0</v>
      </c>
      <c r="E6" s="2">
        <v>35.0</v>
      </c>
      <c r="F6" s="2">
        <v>622.0</v>
      </c>
      <c r="G6" s="2">
        <v>61.0</v>
      </c>
      <c r="H6" s="2">
        <v>397.0</v>
      </c>
      <c r="I6" s="2">
        <v>391.0</v>
      </c>
      <c r="J6" s="2">
        <v>2396.0</v>
      </c>
      <c r="K6" s="2">
        <v>410.0</v>
      </c>
      <c r="L6" s="2">
        <v>457.0</v>
      </c>
      <c r="M6" s="2">
        <v>26.0</v>
      </c>
      <c r="N6" s="2">
        <v>0.0</v>
      </c>
      <c r="O6" s="2">
        <v>0.0</v>
      </c>
      <c r="P6" s="2">
        <v>0.0</v>
      </c>
    </row>
    <row r="7">
      <c r="A7" s="2" t="s">
        <v>26</v>
      </c>
      <c r="B7" s="2" t="s">
        <v>27</v>
      </c>
      <c r="C7" s="2">
        <v>110.0</v>
      </c>
      <c r="D7" s="2">
        <v>5.0</v>
      </c>
      <c r="E7" s="2">
        <v>1.0</v>
      </c>
      <c r="F7" s="2">
        <v>102.0</v>
      </c>
      <c r="G7" s="2">
        <v>2.0</v>
      </c>
      <c r="H7" s="2">
        <v>65.0</v>
      </c>
      <c r="I7" s="2">
        <v>40.0</v>
      </c>
      <c r="J7" s="2">
        <v>1937.0</v>
      </c>
      <c r="K7" s="2">
        <v>971.0</v>
      </c>
      <c r="L7" s="2">
        <v>96.0</v>
      </c>
      <c r="M7" s="2">
        <v>0.0</v>
      </c>
      <c r="N7" s="2">
        <v>0.0</v>
      </c>
      <c r="O7" s="2">
        <v>0.0</v>
      </c>
      <c r="P7" s="2">
        <v>0.0</v>
      </c>
    </row>
    <row r="8">
      <c r="A8" s="2" t="s">
        <v>28</v>
      </c>
      <c r="B8" s="2" t="s">
        <v>29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828.0</v>
      </c>
      <c r="L8" s="2">
        <v>0.0</v>
      </c>
      <c r="M8" s="2">
        <v>0.0</v>
      </c>
      <c r="N8" s="2">
        <v>92.0</v>
      </c>
      <c r="O8" s="2">
        <v>0.0</v>
      </c>
      <c r="P8" s="2">
        <v>25.0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30</v>
      </c>
      <c r="C1" s="2" t="s">
        <v>2</v>
      </c>
      <c r="D1" s="2" t="s">
        <v>31</v>
      </c>
    </row>
    <row r="2">
      <c r="A2" s="3" t="str">
        <f>raw!A2</f>
        <v>dc001</v>
      </c>
      <c r="B2" s="3">
        <f>SUM(raw!D2:G2)</f>
        <v>4701</v>
      </c>
      <c r="C2" s="3">
        <f>raw!C2</f>
        <v>4701</v>
      </c>
      <c r="D2" s="3" t="b">
        <f t="shared" ref="D2:D8" si="1">EXACT(B2,C2)</f>
        <v>1</v>
      </c>
    </row>
    <row r="3">
      <c r="A3" s="3" t="str">
        <f>raw!A3</f>
        <v>dc002</v>
      </c>
      <c r="B3" s="3">
        <f>SUM(raw!D3:G3)</f>
        <v>1826</v>
      </c>
      <c r="C3" s="3">
        <f>raw!C3</f>
        <v>1826</v>
      </c>
      <c r="D3" s="3" t="b">
        <f t="shared" si="1"/>
        <v>1</v>
      </c>
    </row>
    <row r="4">
      <c r="A4" s="3" t="str">
        <f>raw!A4</f>
        <v>dc005</v>
      </c>
      <c r="B4" s="3">
        <f>SUM(raw!D4:G4)</f>
        <v>1281</v>
      </c>
      <c r="C4" s="3">
        <f>raw!C4</f>
        <v>1281</v>
      </c>
      <c r="D4" s="3" t="b">
        <f t="shared" si="1"/>
        <v>1</v>
      </c>
    </row>
    <row r="5">
      <c r="A5" s="3" t="str">
        <f>raw!A5</f>
        <v>dc004</v>
      </c>
      <c r="B5" s="3">
        <f>SUM(raw!D5:G5)</f>
        <v>968</v>
      </c>
      <c r="C5" s="3">
        <f>raw!C5</f>
        <v>968</v>
      </c>
      <c r="D5" s="3" t="b">
        <f t="shared" si="1"/>
        <v>1</v>
      </c>
    </row>
    <row r="6">
      <c r="A6" s="3" t="str">
        <f>raw!A6</f>
        <v>dc003</v>
      </c>
      <c r="B6" s="3">
        <f>SUM(raw!D6:G6)</f>
        <v>870</v>
      </c>
      <c r="C6" s="3">
        <f>raw!C6</f>
        <v>870</v>
      </c>
      <c r="D6" s="3" t="b">
        <f t="shared" si="1"/>
        <v>1</v>
      </c>
    </row>
    <row r="7">
      <c r="A7" s="3" t="str">
        <f>raw!A7</f>
        <v>dc007</v>
      </c>
      <c r="B7" s="3">
        <f>SUM(raw!D7:G7)</f>
        <v>110</v>
      </c>
      <c r="C7" s="3">
        <f>raw!C7</f>
        <v>110</v>
      </c>
      <c r="D7" s="3" t="b">
        <f t="shared" si="1"/>
        <v>1</v>
      </c>
    </row>
    <row r="8">
      <c r="A8" s="3" t="str">
        <f>raw!A8</f>
        <v>dc006</v>
      </c>
      <c r="B8" s="3">
        <f>SUM(raw!D8:G8)</f>
        <v>0</v>
      </c>
      <c r="C8" s="3">
        <f>raw!C8</f>
        <v>0</v>
      </c>
      <c r="D8" s="3" t="b">
        <f t="shared" si="1"/>
        <v>1</v>
      </c>
    </row>
  </sheetData>
  <drawing r:id="rId1"/>
</worksheet>
</file>